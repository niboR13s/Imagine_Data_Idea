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ogeschoolutrecht.sharepoint.com/sites/int_Onderwijs_mnleprojectimagine/Gedeelde documenten/DataProgram/Program's/"/>
    </mc:Choice>
  </mc:AlternateContent>
  <xr:revisionPtr revIDLastSave="149" documentId="8_{EBE526E8-301D-439D-BBD0-DDC04C017095}" xr6:coauthVersionLast="47" xr6:coauthVersionMax="47" xr10:uidLastSave="{A9E73108-52D2-47DF-A69B-9CF53A07C891}"/>
  <bookViews>
    <workbookView xWindow="-120" yWindow="-120" windowWidth="29040" windowHeight="15720" activeTab="3" xr2:uid="{40F60AC9-7D5C-4796-9560-5C6031084052}"/>
  </bookViews>
  <sheets>
    <sheet name="Sensors" sheetId="1" r:id="rId1"/>
    <sheet name="Pos" sheetId="2" r:id="rId2"/>
    <sheet name="Data" sheetId="3" r:id="rId3"/>
    <sheet name="Run_Matrix" sheetId="4" r:id="rId4"/>
  </sheets>
  <definedNames>
    <definedName name="data_list">Data[dataset_name]</definedName>
    <definedName name="sensor_list">sensors[sensor_id]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4" l="1" a="1"/>
  <c r="D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<sst xmlns="http://schemas.openxmlformats.org/spreadsheetml/2006/main" count="103" uniqueCount="59">
  <si>
    <t>sensor_id</t>
  </si>
  <si>
    <t>type</t>
  </si>
  <si>
    <t>resolution_width (px)</t>
  </si>
  <si>
    <t>resolution_height (px)</t>
  </si>
  <si>
    <t>fov_horizontal (deg)</t>
  </si>
  <si>
    <t>fov_vertical (deg)</t>
  </si>
  <si>
    <t>max_range (m)</t>
  </si>
  <si>
    <t>noise_level (m)</t>
  </si>
  <si>
    <t>cam_d435</t>
  </si>
  <si>
    <t>DepthCamera</t>
  </si>
  <si>
    <t>0.005</t>
  </si>
  <si>
    <t>lidar_vlp16</t>
  </si>
  <si>
    <t>LiDAR</t>
  </si>
  <si>
    <t>100.0</t>
  </si>
  <si>
    <t>0.02</t>
  </si>
  <si>
    <t>lidar_os1</t>
  </si>
  <si>
    <t>120.0</t>
  </si>
  <si>
    <t>0.01</t>
  </si>
  <si>
    <t>low_res_test</t>
  </si>
  <si>
    <t>Synthetic</t>
  </si>
  <si>
    <t>5.0</t>
  </si>
  <si>
    <t>0.05</t>
  </si>
  <si>
    <t>high_prec</t>
  </si>
  <si>
    <t>50.0</t>
  </si>
  <si>
    <t>0.000</t>
  </si>
  <si>
    <t>config_id</t>
  </si>
  <si>
    <t>pos_x (m)</t>
  </si>
  <si>
    <t>pos_y (m)</t>
  </si>
  <si>
    <t>pos_z (m)</t>
  </si>
  <si>
    <t>rot_x (deg)</t>
  </si>
  <si>
    <t>rot_y (deg)</t>
  </si>
  <si>
    <t>rot_z (deg)</t>
  </si>
  <si>
    <t>setup_front</t>
  </si>
  <si>
    <t>setup_top</t>
  </si>
  <si>
    <t>setup_iso</t>
  </si>
  <si>
    <t>dataset_name</t>
  </si>
  <si>
    <t>num_samples</t>
  </si>
  <si>
    <t>trans_range (m)</t>
  </si>
  <si>
    <t>trans_step (m)</t>
  </si>
  <si>
    <t>rot_range (deg)</t>
  </si>
  <si>
    <t>rot_step (deg)</t>
  </si>
  <si>
    <t>train_easy</t>
  </si>
  <si>
    <t>train_hard</t>
  </si>
  <si>
    <t>test</t>
  </si>
  <si>
    <t>Generate</t>
  </si>
  <si>
    <t>Data generation settings</t>
  </si>
  <si>
    <t>Test_1</t>
  </si>
  <si>
    <t>Yes</t>
  </si>
  <si>
    <t>x</t>
  </si>
  <si>
    <t>Test_all</t>
  </si>
  <si>
    <t>Batch_ID</t>
  </si>
  <si>
    <t>No</t>
  </si>
  <si>
    <t>train_extreme</t>
  </si>
  <si>
    <t>Hard test</t>
  </si>
  <si>
    <t>Extreme test</t>
  </si>
  <si>
    <t>2592 </t>
  </si>
  <si>
    <t>TOF</t>
  </si>
  <si>
    <t>Basler_ace_2</t>
  </si>
  <si>
    <t>Test_fast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</si>
</sst>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0" fontId="3" fillId="0" borderId="6" xfId="0" applyFont="1" applyBorder="1" applyAlignment="1">
      <alignment horizontal="left" vertical="center" wrapText="1" indent="1" readingOrder="1"/>
    </xf>
    <xf numFmtId="0" fontId="3" fillId="0" borderId="7" xfId="0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9" xfId="0" applyFont="1" applyBorder="1" applyAlignment="1">
      <alignment horizontal="left" vertical="center" wrapText="1" indent="1" readingOrder="1"/>
    </xf>
    <xf numFmtId="0" fontId="1" fillId="0" borderId="0" xfId="0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38">
    <dxf>
      <fill>
        <patternFill>
          <bgColor rgb="FFFF6565"/>
        </patternFill>
      </fill>
    </dxf>
    <dxf>
      <fill>
        <patternFill>
          <bgColor rgb="FFF5777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colors>
    <mruColors>
      <color rgb="FFFF6565"/>
      <color rgb="FFF5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B33333-3360-4578-86D6-9896CBB35280}" name="sensors" displayName="sensors" ref="A1:H7" totalsRowShown="0" headerRowDxfId="37" dataDxfId="35" headerRowBorderDxfId="36" tableBorderDxfId="34" totalsRowBorderDxfId="33">
  <autoFilter ref="A1:H7" xr:uid="{1FB33333-3360-4578-86D6-9896CBB35280}"/>
  <tableColumns count="8">
    <tableColumn id="1" xr3:uid="{72190787-3DD2-4A96-97E4-9D7020BA3D7F}" name="sensor_id" dataDxfId="32"/>
    <tableColumn id="2" xr3:uid="{DF6A5913-E7E9-49FE-A4B6-AAA8FC11EDFE}" name="type" dataDxfId="31"/>
    <tableColumn id="3" xr3:uid="{88DA6488-FA15-4797-B751-2D1A2D97A86B}" name="resolution_width (px)" dataDxfId="30"/>
    <tableColumn id="4" xr3:uid="{34EA10B5-9A1A-428E-9654-55DB695EA343}" name="resolution_height (px)" dataDxfId="29"/>
    <tableColumn id="5" xr3:uid="{505A631B-53B4-4F7D-B4D9-402BFBD14376}" name="fov_horizontal (deg)" dataDxfId="28"/>
    <tableColumn id="6" xr3:uid="{66E0CB03-C8D8-47F9-89C2-4FDE709D47DF}" name="fov_vertical (deg)" dataDxfId="27"/>
    <tableColumn id="7" xr3:uid="{CCC99E9B-74EB-4BE1-ADB3-4CA3DC36411B}" name="max_range (m)" dataDxfId="26"/>
    <tableColumn id="8" xr3:uid="{0F5E5247-AFDD-4201-A1C7-E62CD88A7B8F}" name="noise_level (m)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9AA9AC-43CA-4A27-94F1-B6E09E2774CF}" name="Pos" displayName="Pos" ref="A1:G4" totalsRowShown="0" headerRowDxfId="24" dataDxfId="22" headerRowBorderDxfId="23" tableBorderDxfId="21" totalsRowBorderDxfId="20">
  <autoFilter ref="A1:G4" xr:uid="{DF9AA9AC-43CA-4A27-94F1-B6E09E2774CF}"/>
  <tableColumns count="7">
    <tableColumn id="1" xr3:uid="{074B3AFB-AC1C-4BE2-BF19-D02FBD468266}" name="config_id" dataDxfId="19"/>
    <tableColumn id="3" xr3:uid="{2EF6C995-9B20-4309-AD70-2134C626AAAE}" name="pos_x (m)" dataDxfId="18"/>
    <tableColumn id="4" xr3:uid="{CF6C174D-EEF8-43E1-BDEE-FAB2C6DB8A5C}" name="pos_y (m)" dataDxfId="17"/>
    <tableColumn id="5" xr3:uid="{32D42936-2814-4FA9-A840-FC0EE9A3C8C8}" name="pos_z (m)" dataDxfId="16"/>
    <tableColumn id="6" xr3:uid="{D3DA2678-74C3-402B-9FFA-653740FBF506}" name="rot_x (deg)" dataDxfId="15"/>
    <tableColumn id="7" xr3:uid="{C0DDABCA-D314-437A-8D56-5CCB82FE1887}" name="rot_y (deg)" dataDxfId="14"/>
    <tableColumn id="8" xr3:uid="{FBD30023-F4B2-42F7-902A-C762F2905167}" name="rot_z (deg)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7AB5C2-3E0B-4E17-AEE7-1D63341F1DF7}" name="Data" displayName="Data" ref="A1:F5" totalsRowShown="0" headerRowDxfId="12" dataDxfId="10" headerRowBorderDxfId="11" tableBorderDxfId="9" totalsRowBorderDxfId="8">
  <autoFilter ref="A1:F5" xr:uid="{757AB5C2-3E0B-4E17-AEE7-1D63341F1DF7}"/>
  <tableColumns count="6">
    <tableColumn id="1" xr3:uid="{4FE47A82-79C2-47E6-88AD-9869840C8546}" name="dataset_name" dataDxfId="7"/>
    <tableColumn id="2" xr3:uid="{90AEC8B6-B350-46BC-B3E2-E8FA1D17A646}" name="num_samples" dataDxfId="6"/>
    <tableColumn id="3" xr3:uid="{3B395AF3-0729-4CDA-9DF5-342E8234374C}" name="trans_range (m)" dataDxfId="5"/>
    <tableColumn id="4" xr3:uid="{C28F0FA2-2954-4611-8815-CA4065F57B61}" name="trans_step (m)" dataDxfId="4"/>
    <tableColumn id="5" xr3:uid="{D929DD3B-F2E1-4444-938D-D33D54AF92DB}" name="rot_range (deg)" dataDxfId="3"/>
    <tableColumn id="6" xr3:uid="{C921DE01-409D-4BAE-98E6-08E8CB32942F}" name="rot_step (deg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14D0-AE04-4573-838F-73D4AC3A9BF2}">
  <dimension ref="A1:H7"/>
  <sheetViews>
    <sheetView workbookViewId="0">
      <selection activeCell="D9" sqref="D9"/>
    </sheetView>
  </sheetViews>
  <sheetFormatPr defaultRowHeight="15" x14ac:dyDescent="0.25"/>
  <cols>
    <col min="1" max="1" width="21.42578125" customWidth="1"/>
    <col min="2" max="2" width="16.140625" customWidth="1"/>
    <col min="3" max="3" width="25.7109375" customWidth="1"/>
    <col min="4" max="4" width="26.7109375" customWidth="1"/>
    <col min="5" max="5" width="24.85546875" customWidth="1"/>
    <col min="6" max="6" width="22.28515625" customWidth="1"/>
    <col min="7" max="7" width="19.140625" customWidth="1"/>
    <col min="8" max="8" width="20.28515625" bestFit="1" customWidth="1"/>
  </cols>
  <sheetData>
    <row r="1" spans="1:8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5.75" thickBot="1" x14ac:dyDescent="0.3">
      <c r="A2" s="2" t="s">
        <v>8</v>
      </c>
      <c r="B2" s="1" t="s">
        <v>9</v>
      </c>
      <c r="C2" s="1">
        <v>848</v>
      </c>
      <c r="D2" s="1">
        <v>480</v>
      </c>
      <c r="E2" s="1">
        <v>69</v>
      </c>
      <c r="F2" s="1">
        <v>42</v>
      </c>
      <c r="G2" s="1">
        <v>10</v>
      </c>
      <c r="H2" s="1" t="s">
        <v>10</v>
      </c>
    </row>
    <row r="3" spans="1:8" ht="15.75" thickBot="1" x14ac:dyDescent="0.3">
      <c r="A3" s="2" t="s">
        <v>11</v>
      </c>
      <c r="B3" s="1" t="s">
        <v>12</v>
      </c>
      <c r="C3" s="1">
        <v>360</v>
      </c>
      <c r="D3" s="1">
        <v>16</v>
      </c>
      <c r="E3" s="1">
        <v>360</v>
      </c>
      <c r="F3" s="1">
        <v>30</v>
      </c>
      <c r="G3" s="1" t="s">
        <v>13</v>
      </c>
      <c r="H3" s="1" t="s">
        <v>14</v>
      </c>
    </row>
    <row r="4" spans="1:8" ht="15.75" thickBot="1" x14ac:dyDescent="0.3">
      <c r="A4" s="2" t="s">
        <v>15</v>
      </c>
      <c r="B4" s="1" t="s">
        <v>12</v>
      </c>
      <c r="C4" s="1">
        <v>1024</v>
      </c>
      <c r="D4" s="1">
        <v>128</v>
      </c>
      <c r="E4" s="1">
        <v>360</v>
      </c>
      <c r="F4" s="1">
        <v>45</v>
      </c>
      <c r="G4" s="1" t="s">
        <v>16</v>
      </c>
      <c r="H4" s="1" t="s">
        <v>17</v>
      </c>
    </row>
    <row r="5" spans="1:8" ht="15.75" thickBot="1" x14ac:dyDescent="0.3">
      <c r="A5" s="2" t="s">
        <v>18</v>
      </c>
      <c r="B5" s="1" t="s">
        <v>19</v>
      </c>
      <c r="C5" s="1">
        <v>64</v>
      </c>
      <c r="D5" s="1">
        <v>64</v>
      </c>
      <c r="E5" s="1">
        <v>60</v>
      </c>
      <c r="F5" s="1">
        <v>60</v>
      </c>
      <c r="G5" s="1" t="s">
        <v>20</v>
      </c>
      <c r="H5" s="1" t="s">
        <v>21</v>
      </c>
    </row>
    <row r="6" spans="1:8" ht="15.75" thickBot="1" x14ac:dyDescent="0.3">
      <c r="A6" s="6" t="s">
        <v>22</v>
      </c>
      <c r="B6" s="7" t="s">
        <v>19</v>
      </c>
      <c r="C6" s="7">
        <v>1024</v>
      </c>
      <c r="D6" s="7">
        <v>1024</v>
      </c>
      <c r="E6" s="7">
        <v>90</v>
      </c>
      <c r="F6" s="7">
        <v>90</v>
      </c>
      <c r="G6" s="7" t="s">
        <v>23</v>
      </c>
      <c r="H6" s="7" t="s">
        <v>24</v>
      </c>
    </row>
    <row r="7" spans="1:8" ht="16.5" x14ac:dyDescent="0.25">
      <c r="A7" s="6" t="s">
        <v>57</v>
      </c>
      <c r="B7" s="7" t="s">
        <v>56</v>
      </c>
      <c r="C7" s="7" t="s">
        <v>55</v>
      </c>
      <c r="D7" s="11">
        <v>1944</v>
      </c>
      <c r="E7" s="7">
        <v>70</v>
      </c>
      <c r="F7" s="7">
        <v>60</v>
      </c>
      <c r="G7" s="7">
        <v>10</v>
      </c>
      <c r="H7" s="7">
        <v>1E-3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120A-A78E-48C8-BF8E-8A7A03B41FAF}">
  <dimension ref="A1:G4"/>
  <sheetViews>
    <sheetView workbookViewId="0">
      <selection activeCell="E2" sqref="E2"/>
    </sheetView>
  </sheetViews>
  <sheetFormatPr defaultRowHeight="15" x14ac:dyDescent="0.25"/>
  <cols>
    <col min="1" max="1" width="16.28515625" customWidth="1"/>
    <col min="2" max="2" width="14.28515625" bestFit="1" customWidth="1"/>
    <col min="3" max="3" width="14.140625" bestFit="1" customWidth="1"/>
    <col min="4" max="4" width="14.28515625" bestFit="1" customWidth="1"/>
    <col min="5" max="5" width="15.7109375" bestFit="1" customWidth="1"/>
    <col min="6" max="6" width="15.5703125" bestFit="1" customWidth="1"/>
    <col min="7" max="7" width="15.7109375" bestFit="1" customWidth="1"/>
  </cols>
  <sheetData>
    <row r="1" spans="1:7" ht="15.75" thickBot="1" x14ac:dyDescent="0.3">
      <c r="A1" s="3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5" t="s">
        <v>31</v>
      </c>
    </row>
    <row r="2" spans="1:7" ht="15.75" thickBot="1" x14ac:dyDescent="0.3">
      <c r="A2" s="2" t="s">
        <v>32</v>
      </c>
      <c r="B2" s="1">
        <v>0</v>
      </c>
      <c r="C2" s="1">
        <v>2</v>
      </c>
      <c r="D2" s="1">
        <v>1.5</v>
      </c>
      <c r="E2" s="1">
        <v>90</v>
      </c>
      <c r="F2" s="1">
        <v>0</v>
      </c>
      <c r="G2" s="8">
        <v>0</v>
      </c>
    </row>
    <row r="3" spans="1:7" ht="15.75" thickBot="1" x14ac:dyDescent="0.3">
      <c r="A3" s="2" t="s">
        <v>33</v>
      </c>
      <c r="B3" s="1">
        <v>0</v>
      </c>
      <c r="C3" s="1">
        <v>0</v>
      </c>
      <c r="D3" s="1">
        <v>3</v>
      </c>
      <c r="E3" s="1">
        <v>0</v>
      </c>
      <c r="F3" s="1">
        <v>0</v>
      </c>
      <c r="G3" s="8">
        <v>0</v>
      </c>
    </row>
    <row r="4" spans="1:7" x14ac:dyDescent="0.25">
      <c r="A4" s="6" t="s">
        <v>34</v>
      </c>
      <c r="B4" s="7">
        <v>2</v>
      </c>
      <c r="C4" s="7">
        <v>2</v>
      </c>
      <c r="D4" s="7">
        <v>2</v>
      </c>
      <c r="E4" s="7">
        <v>45</v>
      </c>
      <c r="F4" s="7">
        <v>0</v>
      </c>
      <c r="G4" s="9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AB7F-E32C-427A-A230-6F50C1A59B87}">
  <dimension ref="A1:F5"/>
  <sheetViews>
    <sheetView workbookViewId="0">
      <selection activeCell="F3" sqref="F3"/>
    </sheetView>
  </sheetViews>
  <sheetFormatPr defaultRowHeight="15" x14ac:dyDescent="0.25"/>
  <cols>
    <col min="1" max="1" width="18.42578125" customWidth="1"/>
    <col min="2" max="2" width="19.42578125" customWidth="1"/>
    <col min="3" max="3" width="20.28515625" customWidth="1"/>
    <col min="4" max="4" width="18.85546875" customWidth="1"/>
    <col min="5" max="5" width="20.140625" customWidth="1"/>
    <col min="6" max="6" width="19" bestFit="1" customWidth="1"/>
  </cols>
  <sheetData>
    <row r="1" spans="1:6" ht="15.75" thickBot="1" x14ac:dyDescent="0.3">
      <c r="A1" s="3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</row>
    <row r="2" spans="1:6" ht="15.75" thickBot="1" x14ac:dyDescent="0.3">
      <c r="A2" s="2" t="s">
        <v>41</v>
      </c>
      <c r="B2" s="1">
        <v>100</v>
      </c>
      <c r="C2" s="1">
        <v>0.1</v>
      </c>
      <c r="D2" s="1">
        <v>0.01</v>
      </c>
      <c r="E2" s="1">
        <v>15</v>
      </c>
      <c r="F2" s="1">
        <v>5</v>
      </c>
    </row>
    <row r="3" spans="1:6" ht="15.75" thickBot="1" x14ac:dyDescent="0.3">
      <c r="A3" s="2" t="s">
        <v>42</v>
      </c>
      <c r="B3" s="1">
        <v>100</v>
      </c>
      <c r="C3" s="1">
        <v>0.2</v>
      </c>
      <c r="D3" s="1">
        <v>1.0000000000000001E-5</v>
      </c>
      <c r="E3" s="1">
        <v>25</v>
      </c>
      <c r="F3" s="1">
        <v>1E-3</v>
      </c>
    </row>
    <row r="4" spans="1:6" ht="15.75" thickBot="1" x14ac:dyDescent="0.3">
      <c r="A4" s="2" t="s">
        <v>52</v>
      </c>
      <c r="B4" s="1">
        <v>1000</v>
      </c>
      <c r="C4" s="1">
        <v>0.5</v>
      </c>
      <c r="D4" s="1">
        <v>9.9999999999999995E-7</v>
      </c>
      <c r="E4" s="1">
        <v>45</v>
      </c>
      <c r="F4" s="1">
        <v>1E-3</v>
      </c>
    </row>
    <row r="5" spans="1:6" x14ac:dyDescent="0.25">
      <c r="A5" s="6" t="s">
        <v>43</v>
      </c>
      <c r="B5" s="7">
        <v>20</v>
      </c>
      <c r="C5" s="7">
        <v>0.01</v>
      </c>
      <c r="D5" s="7">
        <v>1E-4</v>
      </c>
      <c r="E5" s="7">
        <v>15</v>
      </c>
      <c r="F5" s="7">
        <v>0.01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62FD-4CBF-488C-B0DF-12E645A3B6BE}">
  <dimension ref="A1:L6"/>
  <sheetViews>
    <sheetView tabSelected="1" workbookViewId="0">
      <selection activeCell="L8" sqref="L8"/>
    </sheetView>
  </sheetViews>
  <sheetFormatPr defaultRowHeight="15" x14ac:dyDescent="0.25"/>
  <cols>
    <col min="1" max="1" width="11.85546875" bestFit="1" customWidth="1"/>
    <col min="2" max="2" width="11.42578125" bestFit="1" customWidth="1"/>
    <col min="3" max="3" width="23.42578125" bestFit="1" customWidth="1"/>
    <col min="4" max="4" width="10.140625" bestFit="1" customWidth="1"/>
    <col min="5" max="5" width="10.5703125" bestFit="1" customWidth="1"/>
    <col min="6" max="6" width="9" bestFit="1" customWidth="1"/>
    <col min="7" max="7" width="12.28515625" bestFit="1" customWidth="1"/>
    <col min="8" max="8" width="9.7109375" bestFit="1" customWidth="1"/>
    <col min="9" max="9" width="11.42578125" bestFit="1" customWidth="1"/>
    <col min="10" max="10" width="10" bestFit="1" customWidth="1"/>
    <col min="11" max="11" width="9.7109375" bestFit="1" customWidth="1"/>
  </cols>
  <sheetData>
    <row r="1" spans="1:12" s="10" customFormat="1" x14ac:dyDescent="0.25">
      <c r="A1" s="10" t="s">
        <v>50</v>
      </c>
      <c r="B1" s="10" t="s">
        <v>44</v>
      </c>
      <c r="C1" s="10" t="s">
        <v>45</v>
      </c>
      <c r="D1" s="10" t="str" cm="1">
        <f t="array" ref="D1:L1">TRANSPOSE(_xlfn.VSTACK(sensors[sensor_id],Pos[config_id]))</f>
        <v>cam_d435</v>
      </c>
      <c r="E1" s="10" t="str">
        <v>lidar_vlp16</v>
      </c>
      <c r="F1" s="10" t="str">
        <v>lidar_os1</v>
      </c>
      <c r="G1" s="10" t="str">
        <v>low_res_test</v>
      </c>
      <c r="H1" s="10" t="str">
        <v>high_prec</v>
      </c>
      <c r="I1" s="10" t="str">
        <v>Basler_ace_2</v>
      </c>
      <c r="J1" s="10" t="str">
        <v>setup_front</v>
      </c>
      <c r="K1" s="10" t="str">
        <v>setup_top</v>
      </c>
      <c r="L1" s="10" t="str">
        <v>setup_iso</v>
      </c>
    </row>
    <row r="2" spans="1:12" x14ac:dyDescent="0.25">
      <c r="A2" t="s">
        <v>46</v>
      </c>
      <c r="B2" t="s">
        <v>51</v>
      </c>
      <c r="C2" t="s">
        <v>43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</row>
    <row r="3" spans="1:12" x14ac:dyDescent="0.25">
      <c r="A3" t="s">
        <v>58</v>
      </c>
      <c r="B3" t="s">
        <v>47</v>
      </c>
      <c r="C3" t="s">
        <v>43</v>
      </c>
      <c r="D3" t="s">
        <v>48</v>
      </c>
      <c r="I3" t="s">
        <v>48</v>
      </c>
      <c r="L3" t="s">
        <v>48</v>
      </c>
    </row>
    <row r="4" spans="1:12" x14ac:dyDescent="0.25">
      <c r="A4" t="s">
        <v>49</v>
      </c>
      <c r="B4" t="s">
        <v>51</v>
      </c>
      <c r="C4" t="s">
        <v>43</v>
      </c>
      <c r="D4" t="s">
        <v>48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</row>
    <row r="5" spans="1:12" x14ac:dyDescent="0.25">
      <c r="A5" t="s">
        <v>53</v>
      </c>
      <c r="B5" t="s">
        <v>51</v>
      </c>
      <c r="C5" t="s">
        <v>42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</row>
    <row r="6" spans="1:12" x14ac:dyDescent="0.25">
      <c r="A6" t="s">
        <v>54</v>
      </c>
      <c r="B6" t="s">
        <v>51</v>
      </c>
      <c r="C6" t="s">
        <v>52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</row>
  </sheetData>
  <conditionalFormatting sqref="B2:B1048576">
    <cfRule type="expression" dxfId="1" priority="2">
      <formula>AND(B2&lt;&gt;"Yes", B2&lt;&gt;"No", B2&lt;&gt;"")</formula>
    </cfRule>
  </conditionalFormatting>
  <conditionalFormatting sqref="C2:C1048576">
    <cfRule type="expression" dxfId="0" priority="1">
      <formula>AND(NOT(ISBLANK(C2)), data_list&lt;&gt;C2)</formula>
    </cfRule>
  </conditionalFormatting>
  <dataValidations count="2">
    <dataValidation type="list" allowBlank="1" showInputMessage="1" showErrorMessage="1" sqref="C2:C1048576" xr:uid="{0869532D-C018-49FF-B7BF-7A9A9D116CE8}">
      <formula1>data_list</formula1>
    </dataValidation>
    <dataValidation type="list" allowBlank="1" showInputMessage="1" showErrorMessage="1" sqref="B2:B1048576" xr:uid="{C66D925E-82E0-4BBD-8353-7196F1081F2A}">
      <formula1>"Yes,No"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3A5F209A89D4CB19EEA099B551A17" ma:contentTypeVersion="11" ma:contentTypeDescription="Een nieuw document maken." ma:contentTypeScope="" ma:versionID="7890ff3c720bac6bb85ddf3222d137c1">
  <xsd:schema xmlns:xsd="http://www.w3.org/2001/XMLSchema" xmlns:xs="http://www.w3.org/2001/XMLSchema" xmlns:p="http://schemas.microsoft.com/office/2006/metadata/properties" xmlns:ns2="6864db5e-2ba5-43d3-9971-5f9c69543783" xmlns:ns3="1fc8c048-acb1-4bfa-b76d-dd24d91bfa45" targetNamespace="http://schemas.microsoft.com/office/2006/metadata/properties" ma:root="true" ma:fieldsID="eb943a136b0a67757f8c603298115e36" ns2:_="" ns3:_="">
    <xsd:import namespace="6864db5e-2ba5-43d3-9971-5f9c69543783"/>
    <xsd:import namespace="1fc8c048-acb1-4bfa-b76d-dd24d91bf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4db5e-2ba5-43d3-9971-5f9c695437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9115ee84-c194-4add-8ddb-ad54b768e1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c8c048-acb1-4bfa-b76d-dd24d91bfa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a99b882-d42f-434b-8492-c9cd52388d8d}" ma:internalName="TaxCatchAll" ma:showField="CatchAllData" ma:web="1fc8c048-acb1-4bfa-b76d-dd24d91bf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c8c048-acb1-4bfa-b76d-dd24d91bfa45" xsi:nil="true"/>
    <lcf76f155ced4ddcb4097134ff3c332f xmlns="6864db5e-2ba5-43d3-9971-5f9c695437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C7159D-9BEA-4379-830F-4F3D0CA1B3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64db5e-2ba5-43d3-9971-5f9c69543783"/>
    <ds:schemaRef ds:uri="1fc8c048-acb1-4bfa-b76d-dd24d91bf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7E3705-3D87-4528-A7DE-60BD1D0864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2BFB73-ED99-461A-AA7A-A090EF1DA3A2}">
  <ds:schemaRefs>
    <ds:schemaRef ds:uri="http://schemas.microsoft.com/office/2006/metadata/properties"/>
    <ds:schemaRef ds:uri="http://schemas.microsoft.com/office/infopath/2007/PartnerControls"/>
    <ds:schemaRef ds:uri="1fc8c048-acb1-4bfa-b76d-dd24d91bfa45"/>
    <ds:schemaRef ds:uri="6864db5e-2ba5-43d3-9971-5f9c695437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Sensors</vt:lpstr>
      <vt:lpstr>Pos</vt:lpstr>
      <vt:lpstr>Data</vt:lpstr>
      <vt:lpstr>Run_Matrix</vt:lpstr>
      <vt:lpstr>data_list</vt:lpstr>
      <vt:lpstr>sensor_list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Robin Somers</dc:creator>
  <cp:keywords/>
  <dc:description/>
  <cp:lastModifiedBy>Robin Somers</cp:lastModifiedBy>
  <cp:revision/>
  <dcterms:created xsi:type="dcterms:W3CDTF">2025-12-16T08:07:02Z</dcterms:created>
  <dcterms:modified xsi:type="dcterms:W3CDTF">2026-01-13T11:20:15Z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0x0101003423A5F209A89D4CB19EEA099B551A17</vt:lpwstr>
  </property>
  <property fmtid="{D5CDD505-2E9C-101B-9397-08002B2CF9AE}" pid="3" name="MediaServiceImageTags">
    <vt:lpwstr/>
  </property>
</Properties>
</file>